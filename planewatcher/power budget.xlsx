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nye/Development/github.com/plane-watch/hardware/"/>
    </mc:Choice>
  </mc:AlternateContent>
  <xr:revisionPtr revIDLastSave="0" documentId="8_{BA73645B-88CA-EB46-968A-FB61A571E1B0}" xr6:coauthVersionLast="47" xr6:coauthVersionMax="47" xr10:uidLastSave="{00000000-0000-0000-0000-000000000000}"/>
  <bookViews>
    <workbookView xWindow="1660" yWindow="5140" windowWidth="21540" windowHeight="10260" xr2:uid="{99B057CB-FBDA-5A49-99BC-CCB903E4CBD3}"/>
  </bookViews>
  <sheets>
    <sheet name="Current Budge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9" i="1" l="1"/>
  <c r="G9" i="1"/>
  <c r="G7" i="1"/>
  <c r="H7" i="1"/>
  <c r="I7" i="1"/>
  <c r="G6" i="1"/>
  <c r="H6" i="1"/>
  <c r="I6" i="1"/>
  <c r="G5" i="1"/>
  <c r="H5" i="1"/>
  <c r="I5" i="1"/>
  <c r="G4" i="1"/>
  <c r="H4" i="1"/>
  <c r="I4" i="1"/>
  <c r="G3" i="1"/>
  <c r="H3" i="1"/>
  <c r="I3" i="1"/>
  <c r="H2" i="1"/>
  <c r="I2" i="1"/>
  <c r="G2" i="1"/>
</calcChain>
</file>

<file path=xl/sharedStrings.xml><?xml version="1.0" encoding="utf-8"?>
<sst xmlns="http://schemas.openxmlformats.org/spreadsheetml/2006/main" count="22" uniqueCount="18">
  <si>
    <t>TQP3M9036</t>
  </si>
  <si>
    <t>Device</t>
  </si>
  <si>
    <t>Draw on 5V rail (mA)</t>
  </si>
  <si>
    <t>Draw on 3V3 rail (mA)</t>
  </si>
  <si>
    <t>Draw on 1V65 rail (mA)</t>
  </si>
  <si>
    <t>Purpose</t>
  </si>
  <si>
    <t>General power</t>
  </si>
  <si>
    <t>Shutdown pin</t>
  </si>
  <si>
    <t>Quantity</t>
  </si>
  <si>
    <t>Total draw on 5V rail (mA)</t>
  </si>
  <si>
    <t>Total draw on 3V3 rail (mA)</t>
  </si>
  <si>
    <t>Total draw on 1V65 rail (mA)</t>
  </si>
  <si>
    <t>ADL5513</t>
  </si>
  <si>
    <t>AD8138</t>
  </si>
  <si>
    <t>AD9238</t>
  </si>
  <si>
    <t>AVDD</t>
  </si>
  <si>
    <t>DRVDD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</si>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</sst>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11D8-C9E9-914E-BBD2-CE1D0EC89972}">
  <dimension ref="A1:I9"/>
  <sheetViews>
    <sheetView tabSelected="1" workbookViewId="0">
      <selection activeCell="I10" sqref="I10"/>
    </sheetView>
  </sheetViews>
  <sheetFormatPr baseColWidth="10" defaultRowHeight="16" x14ac:dyDescent="0.2"/>
  <cols>
    <col min="2" max="2" width="13" bestFit="1" customWidth="1"/>
    <col min="3" max="3" width="18" bestFit="1" customWidth="1"/>
    <col min="4" max="4" width="19" bestFit="1" customWidth="1"/>
    <col min="5" max="5" width="20" bestFit="1" customWidth="1"/>
    <col min="6" max="6" width="8.1640625" bestFit="1" customWidth="1"/>
    <col min="7" max="7" width="22.1640625" bestFit="1" customWidth="1"/>
    <col min="8" max="8" width="23.1640625" bestFit="1" customWidth="1"/>
    <col min="9" max="9" width="24.1640625" bestFit="1" customWidth="1"/>
  </cols>
  <sheetData>
    <row r="1" spans="1:9" s="1" customFormat="1" x14ac:dyDescent="0.2">
      <c r="A1" s="1" t="s">
        <v>1</v>
      </c>
      <c r="B1" s="1" t="s">
        <v>5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9" x14ac:dyDescent="0.2">
      <c r="A2" t="s">
        <v>0</v>
      </c>
      <c r="B2" t="s">
        <v>6</v>
      </c>
      <c r="C2">
        <v>90</v>
      </c>
      <c r="D2">
        <v>0</v>
      </c>
      <c r="E2">
        <v>0</v>
      </c>
      <c r="F2">
        <v>2</v>
      </c>
      <c r="G2">
        <f>$F2*C2</f>
        <v>180</v>
      </c>
      <c r="H2">
        <f t="shared" ref="H2:I2" si="0">$F2*D2</f>
        <v>0</v>
      </c>
      <c r="I2">
        <f t="shared" si="0"/>
        <v>0</v>
      </c>
    </row>
    <row r="3" spans="1:9" x14ac:dyDescent="0.2">
      <c r="A3" t="s">
        <v>0</v>
      </c>
      <c r="B3" t="s">
        <v>7</v>
      </c>
      <c r="C3">
        <v>0.14000000000000001</v>
      </c>
      <c r="D3">
        <v>0</v>
      </c>
      <c r="E3">
        <v>0</v>
      </c>
      <c r="F3">
        <v>2</v>
      </c>
      <c r="G3">
        <f>$F3*C3</f>
        <v>0.28000000000000003</v>
      </c>
      <c r="H3">
        <f t="shared" ref="H3:H4" si="1">$F3*D3</f>
        <v>0</v>
      </c>
      <c r="I3">
        <f t="shared" ref="I3:I4" si="2">$F3*E3</f>
        <v>0</v>
      </c>
    </row>
    <row r="4" spans="1:9" x14ac:dyDescent="0.2">
      <c r="A4" t="s">
        <v>12</v>
      </c>
      <c r="B4" t="s">
        <v>6</v>
      </c>
      <c r="C4">
        <v>31</v>
      </c>
      <c r="D4">
        <v>0</v>
      </c>
      <c r="E4">
        <v>0</v>
      </c>
      <c r="F4">
        <v>1</v>
      </c>
      <c r="G4">
        <f>$F4*C4</f>
        <v>31</v>
      </c>
      <c r="H4">
        <f t="shared" si="1"/>
        <v>0</v>
      </c>
      <c r="I4">
        <f t="shared" si="2"/>
        <v>0</v>
      </c>
    </row>
    <row r="5" spans="1:9" x14ac:dyDescent="0.2">
      <c r="A5" t="s">
        <v>13</v>
      </c>
      <c r="B5" t="s">
        <v>6</v>
      </c>
      <c r="C5">
        <v>23</v>
      </c>
      <c r="D5">
        <v>0</v>
      </c>
      <c r="E5">
        <v>0</v>
      </c>
      <c r="F5">
        <v>1</v>
      </c>
      <c r="G5">
        <f>$F5*C5</f>
        <v>23</v>
      </c>
      <c r="H5">
        <f t="shared" ref="H5:H7" si="3">$F5*D5</f>
        <v>0</v>
      </c>
      <c r="I5">
        <f t="shared" ref="I5:I7" si="4">$F5*E5</f>
        <v>0</v>
      </c>
    </row>
    <row r="6" spans="1:9" x14ac:dyDescent="0.2">
      <c r="A6" t="s">
        <v>14</v>
      </c>
      <c r="B6" t="s">
        <v>15</v>
      </c>
      <c r="C6">
        <v>0</v>
      </c>
      <c r="D6">
        <v>200</v>
      </c>
      <c r="E6">
        <v>0</v>
      </c>
      <c r="F6">
        <v>1</v>
      </c>
      <c r="G6">
        <f>$F6*C6</f>
        <v>0</v>
      </c>
      <c r="H6">
        <f t="shared" si="3"/>
        <v>200</v>
      </c>
      <c r="I6">
        <f t="shared" si="4"/>
        <v>0</v>
      </c>
    </row>
    <row r="7" spans="1:9" x14ac:dyDescent="0.2">
      <c r="A7" t="s">
        <v>14</v>
      </c>
      <c r="B7" t="s">
        <v>16</v>
      </c>
      <c r="C7">
        <v>0</v>
      </c>
      <c r="D7">
        <v>14</v>
      </c>
      <c r="E7">
        <v>0</v>
      </c>
      <c r="F7">
        <v>1</v>
      </c>
      <c r="G7">
        <f>$F7*C7</f>
        <v>0</v>
      </c>
      <c r="H7">
        <f t="shared" si="3"/>
        <v>14</v>
      </c>
      <c r="I7">
        <f t="shared" si="4"/>
        <v>0</v>
      </c>
    </row>
    <row r="9" spans="1:9" x14ac:dyDescent="0.2">
      <c r="F9" s="1" t="s">
        <v>17</v>
      </c>
      <c r="G9" s="1">
        <f>SUM(G2:G7)</f>
        <v>234.28</v>
      </c>
      <c r="H9" s="1">
        <f>SUM(H2:H7)</f>
        <v>214</v>
      </c>
      <c r="I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Budgets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Nye</dc:creator>
  <cp:lastModifiedBy>Mike Nye</cp:lastModifiedBy>
  <dcterms:created xsi:type="dcterms:W3CDTF">2026-04-21T09:59:57Z</dcterms:created>
  <dcterms:modified xsi:type="dcterms:W3CDTF">2026-04-21T10:23:16Z</dcterms:modified>
</cp:coreProperties>
</file>